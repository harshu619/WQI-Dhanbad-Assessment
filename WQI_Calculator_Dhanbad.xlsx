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QI Calculator" sheetId="1" state="visible" r:id="rId3"/>
    <sheet name="Char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<sst xmlns="http://schemas.openxmlformats.org/spreadsheetml/2006/main" count="39" uniqueCount="34">
  <si>
    <t xml:space="preserve">WATER QUALITY INDEX (WQI) CALCULATOR</t>
  </si>
  <si>
    <t xml:space="preserve">Weighted Arithmetic Index Method  |  Damodar River, Dhanbad  |  3 Sampling Stations</t>
  </si>
  <si>
    <t xml:space="preserve">Parameter</t>
  </si>
  <si>
    <t xml:space="preserve">S1 - Upstream (Vn)</t>
  </si>
  <si>
    <t xml:space="preserve">S2 - Near Discharge (Vn)</t>
  </si>
  <si>
    <t xml:space="preserve">S3 - Downstream (Vn)</t>
  </si>
  <si>
    <t xml:space="preserve">Standard (Sn)</t>
  </si>
  <si>
    <t xml:space="preserve">Ideal (Vi)</t>
  </si>
  <si>
    <t xml:space="preserve">1/Sn</t>
  </si>
  <si>
    <t xml:space="preserve">Wn</t>
  </si>
  <si>
    <t xml:space="preserve">Qn - S1</t>
  </si>
  <si>
    <t xml:space="preserve">Qn - S2</t>
  </si>
  <si>
    <t xml:space="preserve">Qn - S3</t>
  </si>
  <si>
    <t xml:space="preserve">Qn x Wn - S2</t>
  </si>
  <si>
    <t xml:space="preserve">pH</t>
  </si>
  <si>
    <t xml:space="preserve">Dissolved Oxygen, DO (mg/L)</t>
  </si>
  <si>
    <t xml:space="preserve">Biochemical Oxygen Demand, BOD (mg/L)</t>
  </si>
  <si>
    <t xml:space="preserve">Total Dissolved Solids, TDS (mg/L)</t>
  </si>
  <si>
    <t xml:space="preserve">Nitrate (mg/L)</t>
  </si>
  <si>
    <t xml:space="preserve">Chloride (mg/L)</t>
  </si>
  <si>
    <t xml:space="preserve">Total Hardness (mg/L)</t>
  </si>
  <si>
    <t xml:space="preserve">Fluoride (mg/L)</t>
  </si>
  <si>
    <t xml:space="preserve">TOTAL</t>
  </si>
  <si>
    <t xml:space="preserve">WQI RESULTS SUMMARY</t>
  </si>
  <si>
    <t xml:space="preserve">Station</t>
  </si>
  <si>
    <t xml:space="preserve">WQI</t>
  </si>
  <si>
    <t xml:space="preserve">Classification</t>
  </si>
  <si>
    <t xml:space="preserve">S1 - Upstream</t>
  </si>
  <si>
    <t xml:space="preserve">S2 - Near Discharge</t>
  </si>
  <si>
    <t xml:space="preserve">S3 - Downstream</t>
  </si>
  <si>
    <t xml:space="preserve">% OF PERMISSIBLE LIMIT (for chart)</t>
  </si>
  <si>
    <t xml:space="preserve">CONTRIBUTION TO WQI - STATION S2 (for pie chart)</t>
  </si>
  <si>
    <t xml:space="preserve">Qn x Wn (S2)</t>
  </si>
  <si>
    <t xml:space="preserve">WQI - GRAPHICAL ANALYSIS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</si>
</sst>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00"/>
    <numFmt numFmtId="167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2F4B"/>
      <name val="Cambria"/>
      <family val="0"/>
      <charset val="1"/>
    </font>
    <font>
      <i val="true"/>
      <sz val="10"/>
      <color rgb="FF5D6D7E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A2F4B"/>
        <bgColor rgb="FF003366"/>
      </patternFill>
    </fill>
    <fill>
      <patternFill patternType="solid">
        <fgColor rgb="FFF2F5F8"/>
        <bgColor rgb="FFEEF2F7"/>
      </patternFill>
    </fill>
    <fill>
      <patternFill patternType="solid">
        <fgColor rgb="FFEEF2F7"/>
        <bgColor rgb="FFF2F5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4D8"/>
      </left>
      <right style="thin">
        <color rgb="FFD0D4D8"/>
      </right>
      <top style="thin">
        <color rgb="FFD0D4D8"/>
      </top>
      <bottom style="thin">
        <color rgb="FFD0D4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D9D9D9"/>
      <rgbColor rgb="FF878787"/>
      <rgbColor rgb="FF93A9CE"/>
      <rgbColor rgb="FFAB4744"/>
      <rgbColor rgb="FFF2F5F8"/>
      <rgbColor rgb="FFEEF2F7"/>
      <rgbColor rgb="FF660066"/>
      <rgbColor rgb="FFDC853E"/>
      <rgbColor rgb="FF0066CC"/>
      <rgbColor rgb="FFD0D4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D09493"/>
      <rgbColor rgb="FFCC99FF"/>
      <rgbColor rgb="FFFFCC99"/>
      <rgbColor rgb="FF4672A8"/>
      <rgbColor rgb="FF33CCCC"/>
      <rgbColor rgb="FF9BBB59"/>
      <rgbColor rgb="FFFFCC00"/>
      <rgbColor rgb="FFFF9900"/>
      <rgbColor rgb="FFFF6600"/>
      <rgbColor rgb="FF5D6D7E"/>
      <rgbColor rgb="FF8AA64F"/>
      <rgbColor rgb="FF003366"/>
      <rgbColor rgb="FF4299B0"/>
      <rgbColor rgb="FF003300"/>
      <rgbColor rgb="FF333300"/>
      <rgbColor rgb="FF993300"/>
      <rgbColor rgb="FFC0504D"/>
      <rgbColor rgb="FF725990"/>
      <rgbColor rgb="FF1A2F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Measured Values vs Permissible Limit (%) - All Stations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'WQI Calculator'!B23</c:f>
              <c:strCache>
                <c:ptCount val="1"/>
                <c:pt idx="0">
                  <c:v>S1 - Upstream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0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'WQI Calculator'!$A$24:$A$31</c:f>
              <c:strCache>
                <c:ptCount val="8"/>
                <c:pt idx="0">
                  <c:v>pH</c:v>
                </c:pt>
                <c:pt idx="1">
                  <c:v>Dissolved Oxygen, DO (mg/L)</c:v>
                </c:pt>
                <c:pt idx="2">
                  <c:v>Biochemical Oxygen Demand, BOD (mg/L)</c:v>
                </c:pt>
                <c:pt idx="3">
                  <c:v>Total Dissolved Solids, TDS (mg/L)</c:v>
                </c:pt>
                <c:pt idx="4">
                  <c:v>Nitrate (mg/L)</c:v>
                </c:pt>
                <c:pt idx="5">
                  <c:v>Chloride (mg/L)</c:v>
                </c:pt>
                <c:pt idx="6">
                  <c:v>Total Hardness (mg/L)</c:v>
                </c:pt>
                <c:pt idx="7">
                  <c:v>Fluoride (mg/L)</c:v>
                </c:pt>
              </c:strCache>
            </c:strRef>
          </c:cat>
          <c:val>
            <c:numRef>
              <c:f>'WQI Calculator'!$B$24:$B$31</c:f>
              <c:numCache>
                <c:formatCode>0.0</c:formatCode>
                <c:ptCount val="8"/>
                <c:pt idx="0">
                  <c:v>84.7058823529412</c:v>
                </c:pt>
                <c:pt idx="1">
                  <c:v>136</c:v>
                </c:pt>
                <c:pt idx="2">
                  <c:v>64</c:v>
                </c:pt>
                <c:pt idx="3">
                  <c:v>64</c:v>
                </c:pt>
                <c:pt idx="4">
                  <c:v>33.3333333333333</c:v>
                </c:pt>
                <c:pt idx="5">
                  <c:v>36</c:v>
                </c:pt>
                <c:pt idx="6">
                  <c:v>73.3333333333333</c:v>
                </c:pt>
                <c:pt idx="7">
                  <c:v>16.6666666666667</c:v>
                </c:pt>
              </c:numCache>
            </c:numRef>
          </c:val>
        </c:ser>
        <c:ser>
          <c:idx val="1"/>
          <c:order val="1"/>
          <c:tx>
            <c:strRef>
              <c:f>'WQI Calculator'!C23</c:f>
              <c:strCache>
                <c:ptCount val="1"/>
                <c:pt idx="0">
                  <c:v>S2 - Near Discharge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0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'WQI Calculator'!$A$24:$A$31</c:f>
              <c:strCache>
                <c:ptCount val="8"/>
                <c:pt idx="0">
                  <c:v>pH</c:v>
                </c:pt>
                <c:pt idx="1">
                  <c:v>Dissolved Oxygen, DO (mg/L)</c:v>
                </c:pt>
                <c:pt idx="2">
                  <c:v>Biochemical Oxygen Demand, BOD (mg/L)</c:v>
                </c:pt>
                <c:pt idx="3">
                  <c:v>Total Dissolved Solids, TDS (mg/L)</c:v>
                </c:pt>
                <c:pt idx="4">
                  <c:v>Nitrate (mg/L)</c:v>
                </c:pt>
                <c:pt idx="5">
                  <c:v>Chloride (mg/L)</c:v>
                </c:pt>
                <c:pt idx="6">
                  <c:v>Total Hardness (mg/L)</c:v>
                </c:pt>
                <c:pt idx="7">
                  <c:v>Fluoride (mg/L)</c:v>
                </c:pt>
              </c:strCache>
            </c:strRef>
          </c:cat>
          <c:val>
            <c:numRef>
              <c:f>'WQI Calculator'!$C$24:$C$31</c:f>
              <c:numCache>
                <c:formatCode>0.0</c:formatCode>
                <c:ptCount val="8"/>
                <c:pt idx="0">
                  <c:v>91.7647058823529</c:v>
                </c:pt>
                <c:pt idx="1">
                  <c:v>84</c:v>
                </c:pt>
                <c:pt idx="2">
                  <c:v>130</c:v>
                </c:pt>
                <c:pt idx="3">
                  <c:v>112</c:v>
                </c:pt>
                <c:pt idx="4">
                  <c:v>62.2222222222222</c:v>
                </c:pt>
                <c:pt idx="5">
                  <c:v>72</c:v>
                </c:pt>
                <c:pt idx="6">
                  <c:v>113.333333333333</c:v>
                </c:pt>
                <c:pt idx="7">
                  <c:v>28</c:v>
                </c:pt>
              </c:numCache>
            </c:numRef>
          </c:val>
        </c:ser>
        <c:ser>
          <c:idx val="2"/>
          <c:order val="2"/>
          <c:tx>
            <c:strRef>
              <c:f>'WQI Calculator'!D23</c:f>
              <c:strCache>
                <c:ptCount val="1"/>
                <c:pt idx="0">
                  <c:v>S3 - Downstream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0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'WQI Calculator'!$A$24:$A$31</c:f>
              <c:strCache>
                <c:ptCount val="8"/>
                <c:pt idx="0">
                  <c:v>pH</c:v>
                </c:pt>
                <c:pt idx="1">
                  <c:v>Dissolved Oxygen, DO (mg/L)</c:v>
                </c:pt>
                <c:pt idx="2">
                  <c:v>Biochemical Oxygen Demand, BOD (mg/L)</c:v>
                </c:pt>
                <c:pt idx="3">
                  <c:v>Total Dissolved Solids, TDS (mg/L)</c:v>
                </c:pt>
                <c:pt idx="4">
                  <c:v>Nitrate (mg/L)</c:v>
                </c:pt>
                <c:pt idx="5">
                  <c:v>Chloride (mg/L)</c:v>
                </c:pt>
                <c:pt idx="6">
                  <c:v>Total Hardness (mg/L)</c:v>
                </c:pt>
                <c:pt idx="7">
                  <c:v>Fluoride (mg/L)</c:v>
                </c:pt>
              </c:strCache>
            </c:strRef>
          </c:cat>
          <c:val>
            <c:numRef>
              <c:f>'WQI Calculator'!$D$24:$D$31</c:f>
              <c:numCache>
                <c:formatCode>0.0</c:formatCode>
                <c:ptCount val="8"/>
                <c:pt idx="0">
                  <c:v>88.2352941176471</c:v>
                </c:pt>
                <c:pt idx="1">
                  <c:v>110</c:v>
                </c:pt>
                <c:pt idx="2">
                  <c:v>96</c:v>
                </c:pt>
                <c:pt idx="3">
                  <c:v>88</c:v>
                </c:pt>
                <c:pt idx="4">
                  <c:v>44.4444444444444</c:v>
                </c:pt>
                <c:pt idx="5">
                  <c:v>52</c:v>
                </c:pt>
                <c:pt idx="6">
                  <c:v>93.3333333333333</c:v>
                </c:pt>
                <c:pt idx="7">
                  <c:v>22</c:v>
                </c:pt>
              </c:numCache>
            </c:numRef>
          </c:val>
        </c:ser>
        <c:gapWidth val="150"/>
        <c:overlap val="0"/>
        <c:axId val="5884993"/>
        <c:axId val="80609574"/>
      </c:barChart>
      <c:catAx>
        <c:axId val="58849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Parameter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609574"/>
        <c:crosses val="autoZero"/>
        <c:auto val="1"/>
        <c:lblAlgn val="ctr"/>
        <c:lblOffset val="100"/>
        <c:noMultiLvlLbl val="0"/>
      </c:catAx>
      <c:valAx>
        <c:axId val="806095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Permissible Limit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849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Water Quality Index (WQI) Comparison Across Stations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'WQI Calculator'!B17</c:f>
              <c:strCache>
                <c:ptCount val="1"/>
                <c:pt idx="0">
                  <c:v>WQI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'WQI Calculator'!$A$18:$A$20</c:f>
              <c:strCache>
                <c:ptCount val="3"/>
                <c:pt idx="0">
                  <c:v>S1 - Upstream</c:v>
                </c:pt>
                <c:pt idx="1">
                  <c:v>S2 - Near Discharge</c:v>
                </c:pt>
                <c:pt idx="2">
                  <c:v>S3 - Downstream</c:v>
                </c:pt>
              </c:strCache>
            </c:strRef>
          </c:cat>
          <c:val>
            <c:numRef>
              <c:f>'WQI Calculator'!$B$18:$B$20</c:f>
              <c:numCache>
                <c:formatCode>0.00</c:formatCode>
                <c:ptCount val="3"/>
                <c:pt idx="0">
                  <c:v>35.3548892281449</c:v>
                </c:pt>
                <c:pt idx="1">
                  <c:v>61.5858449026789</c:v>
                </c:pt>
                <c:pt idx="2">
                  <c:v>48.0556051299327</c:v>
                </c:pt>
              </c:numCache>
            </c:numRef>
          </c:val>
        </c:ser>
        <c:gapWidth val="150"/>
        <c:overlap val="0"/>
        <c:axId val="11692338"/>
        <c:axId val="14924505"/>
      </c:barChart>
      <c:catAx>
        <c:axId val="116923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924505"/>
        <c:crosses val="autoZero"/>
        <c:auto val="1"/>
        <c:lblAlgn val="ctr"/>
        <c:lblOffset val="100"/>
        <c:noMultiLvlLbl val="0"/>
      </c:catAx>
      <c:valAx>
        <c:axId val="149245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WQI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6923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Contribution of Each Parameter to WQI (Station S2)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'WQI Calculator'!B34</c:f>
              <c:strCache>
                <c:ptCount val="1"/>
                <c:pt idx="0">
                  <c:v>Qn x Wn (S2)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'WQI Calculator'!$A$35:$A$42</c:f>
              <c:strCache>
                <c:ptCount val="8"/>
                <c:pt idx="0">
                  <c:v>pH</c:v>
                </c:pt>
                <c:pt idx="1">
                  <c:v>Dissolved Oxygen, DO (mg/L)</c:v>
                </c:pt>
                <c:pt idx="2">
                  <c:v>Biochemical Oxygen Demand, BOD (mg/L)</c:v>
                </c:pt>
                <c:pt idx="3">
                  <c:v>Total Dissolved Solids, TDS (mg/L)</c:v>
                </c:pt>
                <c:pt idx="4">
                  <c:v>Nitrate (mg/L)</c:v>
                </c:pt>
                <c:pt idx="5">
                  <c:v>Chloride (mg/L)</c:v>
                </c:pt>
                <c:pt idx="6">
                  <c:v>Total Hardness (mg/L)</c:v>
                </c:pt>
                <c:pt idx="7">
                  <c:v>Fluoride (mg/L)</c:v>
                </c:pt>
              </c:strCache>
            </c:strRef>
          </c:cat>
          <c:val>
            <c:numRef>
              <c:f>'WQI Calculator'!$B$35:$B$42</c:f>
              <c:numCache>
                <c:formatCode>0.00</c:formatCode>
                <c:ptCount val="8"/>
                <c:pt idx="0">
                  <c:v>5.16051347109037</c:v>
                </c:pt>
                <c:pt idx="1">
                  <c:v>17.8198980798589</c:v>
                </c:pt>
                <c:pt idx="2">
                  <c:v>21.3838776958307</c:v>
                </c:pt>
                <c:pt idx="3">
                  <c:v>0.184230330917926</c:v>
                </c:pt>
                <c:pt idx="4">
                  <c:v>1.13722426492547</c:v>
                </c:pt>
                <c:pt idx="5">
                  <c:v>0.236867568323048</c:v>
                </c:pt>
                <c:pt idx="6">
                  <c:v>0.310705915238566</c:v>
                </c:pt>
                <c:pt idx="7">
                  <c:v>15.3525275764939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12</xdr:col>
      <xdr:colOff>581400</xdr:colOff>
      <xdr:row>19</xdr:row>
      <xdr:rowOff>1080</xdr:rowOff>
    </xdr:to>
    <xdr:graphicFrame>
      <xdr:nvGraphicFramePr>
        <xdr:cNvPr id="0" name="Chart 1"/>
        <xdr:cNvGraphicFramePr/>
      </xdr:nvGraphicFramePr>
      <xdr:xfrm>
        <a:off x="0" y="51444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8</xdr:col>
      <xdr:colOff>507600</xdr:colOff>
      <xdr:row>38</xdr:row>
      <xdr:rowOff>1080</xdr:rowOff>
    </xdr:to>
    <xdr:graphicFrame>
      <xdr:nvGraphicFramePr>
        <xdr:cNvPr id="1" name="Chart 2"/>
        <xdr:cNvGraphicFramePr/>
      </xdr:nvGraphicFramePr>
      <xdr:xfrm>
        <a:off x="0" y="4133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21</xdr:row>
      <xdr:rowOff>0</xdr:rowOff>
    </xdr:from>
    <xdr:to>
      <xdr:col>21</xdr:col>
      <xdr:colOff>507600</xdr:colOff>
      <xdr:row>38</xdr:row>
      <xdr:rowOff>1080</xdr:rowOff>
    </xdr:to>
    <xdr:graphicFrame>
      <xdr:nvGraphicFramePr>
        <xdr:cNvPr id="2" name="Chart 3"/>
        <xdr:cNvGraphicFramePr/>
      </xdr:nvGraphicFramePr>
      <xdr:xfrm>
        <a:off x="7949520" y="4133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8" min="7" style="0" width="8"/>
    <col collapsed="false" customWidth="true" hidden="false" outlineLevel="0" max="11" min="9" style="0" width="9"/>
    <col collapsed="false" customWidth="true" hidden="false" outlineLevel="0" max="12" min="12" style="0" width="11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5" t="n">
        <v>7.2</v>
      </c>
      <c r="C5" s="5" t="n">
        <v>7.8</v>
      </c>
      <c r="D5" s="5" t="n">
        <v>7.5</v>
      </c>
      <c r="E5" s="5" t="n">
        <v>8.5</v>
      </c>
      <c r="F5" s="5" t="n">
        <v>7</v>
      </c>
      <c r="G5" s="6" t="n">
        <f aca="false">1/E5</f>
        <v>0.117647058823529</v>
      </c>
      <c r="H5" s="6" t="n">
        <f aca="false">G5/G$14</f>
        <v>0.0967596275829445</v>
      </c>
      <c r="I5" s="7" t="n">
        <f aca="false">ABS((B5-F5)/(E5-F5))*100</f>
        <v>13.3333333333333</v>
      </c>
      <c r="J5" s="7" t="n">
        <f aca="false">ABS((C5-F5)/(E5-F5))*100</f>
        <v>53.3333333333333</v>
      </c>
      <c r="K5" s="7" t="n">
        <f aca="false">ABS((D5-F5)/(E5-F5))*100</f>
        <v>33.3333333333333</v>
      </c>
      <c r="L5" s="7" t="n">
        <f aca="false">J5*H5</f>
        <v>5.16051347109037</v>
      </c>
    </row>
    <row r="6" customFormat="false" ht="15" hidden="false" customHeight="false" outlineLevel="0" collapsed="false">
      <c r="A6" s="8" t="s">
        <v>15</v>
      </c>
      <c r="B6" s="9" t="n">
        <v>6.8</v>
      </c>
      <c r="C6" s="9" t="n">
        <v>4.2</v>
      </c>
      <c r="D6" s="9" t="n">
        <v>5.5</v>
      </c>
      <c r="E6" s="9" t="n">
        <v>5</v>
      </c>
      <c r="F6" s="9" t="n">
        <v>14.6</v>
      </c>
      <c r="G6" s="10" t="n">
        <f aca="false">1/E6</f>
        <v>0.2</v>
      </c>
      <c r="H6" s="10" t="n">
        <f aca="false">G6/G$14</f>
        <v>0.164491366891006</v>
      </c>
      <c r="I6" s="11" t="n">
        <f aca="false">ABS((B6-F6)/(E6-F6))*100</f>
        <v>81.25</v>
      </c>
      <c r="J6" s="11" t="n">
        <f aca="false">ABS((C6-F6)/(E6-F6))*100</f>
        <v>108.333333333333</v>
      </c>
      <c r="K6" s="11" t="n">
        <f aca="false">ABS((D6-F6)/(E6-F6))*100</f>
        <v>94.7916666666667</v>
      </c>
      <c r="L6" s="11" t="n">
        <f aca="false">J6*H6</f>
        <v>17.8198980798589</v>
      </c>
    </row>
    <row r="7" customFormat="false" ht="15" hidden="false" customHeight="false" outlineLevel="0" collapsed="false">
      <c r="A7" s="4" t="s">
        <v>16</v>
      </c>
      <c r="B7" s="5" t="n">
        <v>3.2</v>
      </c>
      <c r="C7" s="5" t="n">
        <v>6.5</v>
      </c>
      <c r="D7" s="5" t="n">
        <v>4.8</v>
      </c>
      <c r="E7" s="5" t="n">
        <v>5</v>
      </c>
      <c r="F7" s="5" t="n">
        <v>0</v>
      </c>
      <c r="G7" s="6" t="n">
        <f aca="false">1/E7</f>
        <v>0.2</v>
      </c>
      <c r="H7" s="6" t="n">
        <f aca="false">G7/G$14</f>
        <v>0.164491366891006</v>
      </c>
      <c r="I7" s="7" t="n">
        <f aca="false">ABS((B7-F7)/(E7-F7))*100</f>
        <v>64</v>
      </c>
      <c r="J7" s="7" t="n">
        <f aca="false">ABS((C7-F7)/(E7-F7))*100</f>
        <v>130</v>
      </c>
      <c r="K7" s="7" t="n">
        <f aca="false">ABS((D7-F7)/(E7-F7))*100</f>
        <v>96</v>
      </c>
      <c r="L7" s="7" t="n">
        <f aca="false">J7*H7</f>
        <v>21.3838776958307</v>
      </c>
    </row>
    <row r="8" customFormat="false" ht="15" hidden="false" customHeight="false" outlineLevel="0" collapsed="false">
      <c r="A8" s="8" t="s">
        <v>17</v>
      </c>
      <c r="B8" s="9" t="n">
        <v>320</v>
      </c>
      <c r="C8" s="9" t="n">
        <v>560</v>
      </c>
      <c r="D8" s="9" t="n">
        <v>440</v>
      </c>
      <c r="E8" s="9" t="n">
        <v>500</v>
      </c>
      <c r="F8" s="9" t="n">
        <v>0</v>
      </c>
      <c r="G8" s="10" t="n">
        <f aca="false">1/E8</f>
        <v>0.002</v>
      </c>
      <c r="H8" s="10" t="n">
        <f aca="false">G8/G$14</f>
        <v>0.00164491366891006</v>
      </c>
      <c r="I8" s="11" t="n">
        <f aca="false">ABS((B8-F8)/(E8-F8))*100</f>
        <v>64</v>
      </c>
      <c r="J8" s="11" t="n">
        <f aca="false">ABS((C8-F8)/(E8-F8))*100</f>
        <v>112</v>
      </c>
      <c r="K8" s="11" t="n">
        <f aca="false">ABS((D8-F8)/(E8-F8))*100</f>
        <v>88</v>
      </c>
      <c r="L8" s="11" t="n">
        <f aca="false">J8*H8</f>
        <v>0.184230330917926</v>
      </c>
    </row>
    <row r="9" customFormat="false" ht="15" hidden="false" customHeight="false" outlineLevel="0" collapsed="false">
      <c r="A9" s="4" t="s">
        <v>18</v>
      </c>
      <c r="B9" s="5" t="n">
        <v>15</v>
      </c>
      <c r="C9" s="5" t="n">
        <v>28</v>
      </c>
      <c r="D9" s="5" t="n">
        <v>20</v>
      </c>
      <c r="E9" s="5" t="n">
        <v>45</v>
      </c>
      <c r="F9" s="5" t="n">
        <v>0</v>
      </c>
      <c r="G9" s="6" t="n">
        <f aca="false">1/E9</f>
        <v>0.0222222222222222</v>
      </c>
      <c r="H9" s="6" t="n">
        <f aca="false">G9/G$14</f>
        <v>0.0182768185434451</v>
      </c>
      <c r="I9" s="7" t="n">
        <f aca="false">ABS((B9-F9)/(E9-F9))*100</f>
        <v>33.3333333333333</v>
      </c>
      <c r="J9" s="7" t="n">
        <f aca="false">ABS((C9-F9)/(E9-F9))*100</f>
        <v>62.2222222222222</v>
      </c>
      <c r="K9" s="7" t="n">
        <f aca="false">ABS((D9-F9)/(E9-F9))*100</f>
        <v>44.4444444444444</v>
      </c>
      <c r="L9" s="7" t="n">
        <f aca="false">J9*H9</f>
        <v>1.13722426492547</v>
      </c>
    </row>
    <row r="10" customFormat="false" ht="15" hidden="false" customHeight="false" outlineLevel="0" collapsed="false">
      <c r="A10" s="8" t="s">
        <v>19</v>
      </c>
      <c r="B10" s="9" t="n">
        <v>90</v>
      </c>
      <c r="C10" s="9" t="n">
        <v>180</v>
      </c>
      <c r="D10" s="9" t="n">
        <v>130</v>
      </c>
      <c r="E10" s="9" t="n">
        <v>250</v>
      </c>
      <c r="F10" s="9" t="n">
        <v>0</v>
      </c>
      <c r="G10" s="10" t="n">
        <f aca="false">1/E10</f>
        <v>0.004</v>
      </c>
      <c r="H10" s="10" t="n">
        <f aca="false">G10/G$14</f>
        <v>0.00328982733782011</v>
      </c>
      <c r="I10" s="11" t="n">
        <f aca="false">ABS((B10-F10)/(E10-F10))*100</f>
        <v>36</v>
      </c>
      <c r="J10" s="11" t="n">
        <f aca="false">ABS((C10-F10)/(E10-F10))*100</f>
        <v>72</v>
      </c>
      <c r="K10" s="11" t="n">
        <f aca="false">ABS((D10-F10)/(E10-F10))*100</f>
        <v>52</v>
      </c>
      <c r="L10" s="11" t="n">
        <f aca="false">J10*H10</f>
        <v>0.236867568323048</v>
      </c>
    </row>
    <row r="11" customFormat="false" ht="15" hidden="false" customHeight="false" outlineLevel="0" collapsed="false">
      <c r="A11" s="4" t="s">
        <v>20</v>
      </c>
      <c r="B11" s="5" t="n">
        <v>220</v>
      </c>
      <c r="C11" s="5" t="n">
        <v>340</v>
      </c>
      <c r="D11" s="5" t="n">
        <v>280</v>
      </c>
      <c r="E11" s="5" t="n">
        <v>300</v>
      </c>
      <c r="F11" s="5" t="n">
        <v>0</v>
      </c>
      <c r="G11" s="6" t="n">
        <f aca="false">1/E11</f>
        <v>0.00333333333333333</v>
      </c>
      <c r="H11" s="6" t="n">
        <f aca="false">G11/G$14</f>
        <v>0.00274152278151676</v>
      </c>
      <c r="I11" s="7" t="n">
        <f aca="false">ABS((B11-F11)/(E11-F11))*100</f>
        <v>73.3333333333333</v>
      </c>
      <c r="J11" s="7" t="n">
        <f aca="false">ABS((C11-F11)/(E11-F11))*100</f>
        <v>113.333333333333</v>
      </c>
      <c r="K11" s="7" t="n">
        <f aca="false">ABS((D11-F11)/(E11-F11))*100</f>
        <v>93.3333333333333</v>
      </c>
      <c r="L11" s="7" t="n">
        <f aca="false">J11*H11</f>
        <v>0.310705915238566</v>
      </c>
    </row>
    <row r="12" customFormat="false" ht="15" hidden="false" customHeight="false" outlineLevel="0" collapsed="false">
      <c r="A12" s="8" t="s">
        <v>21</v>
      </c>
      <c r="B12" s="9" t="n">
        <v>0.25</v>
      </c>
      <c r="C12" s="9" t="n">
        <v>0.42</v>
      </c>
      <c r="D12" s="9" t="n">
        <v>0.33</v>
      </c>
      <c r="E12" s="9" t="n">
        <v>1.5</v>
      </c>
      <c r="F12" s="9" t="n">
        <v>0</v>
      </c>
      <c r="G12" s="10" t="n">
        <f aca="false">1/E12</f>
        <v>0.666666666666667</v>
      </c>
      <c r="H12" s="10" t="n">
        <f aca="false">G12/G$14</f>
        <v>0.548304556303352</v>
      </c>
      <c r="I12" s="11" t="n">
        <f aca="false">ABS((B12-F12)/(E12-F12))*100</f>
        <v>16.6666666666667</v>
      </c>
      <c r="J12" s="11" t="n">
        <f aca="false">ABS((C12-F12)/(E12-F12))*100</f>
        <v>28</v>
      </c>
      <c r="K12" s="11" t="n">
        <f aca="false">ABS((D12-F12)/(E12-F12))*100</f>
        <v>22</v>
      </c>
      <c r="L12" s="11" t="n">
        <f aca="false">J12*H12</f>
        <v>15.3525275764939</v>
      </c>
    </row>
    <row r="14" customFormat="false" ht="15" hidden="false" customHeight="false" outlineLevel="0" collapsed="false">
      <c r="A14" s="12" t="s">
        <v>22</v>
      </c>
      <c r="B14" s="13"/>
      <c r="C14" s="13"/>
      <c r="D14" s="13"/>
      <c r="E14" s="13"/>
      <c r="F14" s="13"/>
      <c r="G14" s="14" t="n">
        <f aca="false">SUM(G5:G12)</f>
        <v>1.21586928104575</v>
      </c>
      <c r="H14" s="14" t="n">
        <f aca="false">SUM(H5:H12)</f>
        <v>1</v>
      </c>
      <c r="I14" s="15" t="n">
        <f aca="false">SUMPRODUCT(I5:I12,H5:H12)</f>
        <v>35.3548892281449</v>
      </c>
      <c r="J14" s="15" t="n">
        <f aca="false">SUMPRODUCT(J5:J12,H5:H12)</f>
        <v>61.5858449026789</v>
      </c>
      <c r="K14" s="15" t="n">
        <f aca="false">SUMPRODUCT(K5:K12,H5:H12)</f>
        <v>48.0556051299327</v>
      </c>
      <c r="L14" s="15" t="n">
        <f aca="false">SUM(L5:L12)</f>
        <v>61.5858449026789</v>
      </c>
    </row>
    <row r="16" customFormat="false" ht="15" hidden="false" customHeight="false" outlineLevel="0" collapsed="false">
      <c r="A16" s="16" t="s">
        <v>23</v>
      </c>
      <c r="B16" s="16"/>
      <c r="C16" s="16"/>
      <c r="D16" s="16"/>
    </row>
    <row r="17" customFormat="false" ht="15" hidden="false" customHeight="false" outlineLevel="0" collapsed="false">
      <c r="A17" s="17" t="s">
        <v>24</v>
      </c>
      <c r="B17" s="17" t="s">
        <v>25</v>
      </c>
      <c r="C17" s="17" t="s">
        <v>26</v>
      </c>
    </row>
    <row r="18" customFormat="false" ht="15" hidden="false" customHeight="false" outlineLevel="0" collapsed="false">
      <c r="A18" s="4" t="s">
        <v>27</v>
      </c>
      <c r="B18" s="7" t="n">
        <f aca="false">SUMPRODUCT(I5:I12,H5:H12)</f>
        <v>35.3548892281449</v>
      </c>
      <c r="C18" s="18" t="str">
        <f aca="false">IF(B18&lt;=25,"Excellent",IF(B18&lt;=50,"Good",IF(B18&lt;=75,"Poor",IF(B18&lt;=100,"Very Poor","Unsuitable"))))</f>
        <v>Good</v>
      </c>
    </row>
    <row r="19" customFormat="false" ht="15" hidden="false" customHeight="false" outlineLevel="0" collapsed="false">
      <c r="A19" s="8" t="s">
        <v>28</v>
      </c>
      <c r="B19" s="11" t="n">
        <f aca="false">SUMPRODUCT(J5:J12,H5:H12)</f>
        <v>61.5858449026789</v>
      </c>
      <c r="C19" s="19" t="str">
        <f aca="false">IF(B19&lt;=25,"Excellent",IF(B19&lt;=50,"Good",IF(B19&lt;=75,"Poor",IF(B19&lt;=100,"Very Poor","Unsuitable"))))</f>
        <v>Poor</v>
      </c>
    </row>
    <row r="20" customFormat="false" ht="15" hidden="false" customHeight="false" outlineLevel="0" collapsed="false">
      <c r="A20" s="4" t="s">
        <v>29</v>
      </c>
      <c r="B20" s="7" t="n">
        <f aca="false">SUMPRODUCT(K5:K12,H5:H12)</f>
        <v>48.0556051299327</v>
      </c>
      <c r="C20" s="18" t="str">
        <f aca="false">IF(B20&lt;=25,"Excellent",IF(B20&lt;=50,"Good",IF(B20&lt;=75,"Poor",IF(B20&lt;=100,"Very Poor","Unsuitable"))))</f>
        <v>Good</v>
      </c>
    </row>
    <row r="22" customFormat="false" ht="15" hidden="false" customHeight="false" outlineLevel="0" collapsed="false">
      <c r="A22" s="16" t="s">
        <v>30</v>
      </c>
      <c r="B22" s="16"/>
      <c r="C22" s="16"/>
      <c r="D22" s="16"/>
    </row>
    <row r="23" customFormat="false" ht="15" hidden="false" customHeight="false" outlineLevel="0" collapsed="false">
      <c r="A23" s="17" t="s">
        <v>2</v>
      </c>
      <c r="B23" s="17" t="s">
        <v>27</v>
      </c>
      <c r="C23" s="17" t="s">
        <v>28</v>
      </c>
      <c r="D23" s="17" t="s">
        <v>29</v>
      </c>
    </row>
    <row r="24" customFormat="false" ht="15" hidden="false" customHeight="false" outlineLevel="0" collapsed="false">
      <c r="A24" s="4" t="str">
        <f aca="false">A5</f>
        <v>pH</v>
      </c>
      <c r="B24" s="20" t="n">
        <f aca="false">B5/E5*100</f>
        <v>84.7058823529412</v>
      </c>
      <c r="C24" s="20" t="n">
        <f aca="false">C5/E5*100</f>
        <v>91.7647058823529</v>
      </c>
      <c r="D24" s="20" t="n">
        <f aca="false">D5/E5*100</f>
        <v>88.2352941176471</v>
      </c>
    </row>
    <row r="25" customFormat="false" ht="15" hidden="false" customHeight="false" outlineLevel="0" collapsed="false">
      <c r="A25" s="8" t="str">
        <f aca="false">A6</f>
        <v>Dissolved Oxygen, DO (mg/L)</v>
      </c>
      <c r="B25" s="21" t="n">
        <f aca="false">B6/E6*100</f>
        <v>136</v>
      </c>
      <c r="C25" s="21" t="n">
        <f aca="false">C6/E6*100</f>
        <v>84</v>
      </c>
      <c r="D25" s="21" t="n">
        <f aca="false">D6/E6*100</f>
        <v>110</v>
      </c>
    </row>
    <row r="26" customFormat="false" ht="15" hidden="false" customHeight="false" outlineLevel="0" collapsed="false">
      <c r="A26" s="4" t="str">
        <f aca="false">A7</f>
        <v>Biochemical Oxygen Demand, BOD (mg/L)</v>
      </c>
      <c r="B26" s="20" t="n">
        <f aca="false">B7/E7*100</f>
        <v>64</v>
      </c>
      <c r="C26" s="20" t="n">
        <f aca="false">C7/E7*100</f>
        <v>130</v>
      </c>
      <c r="D26" s="20" t="n">
        <f aca="false">D7/E7*100</f>
        <v>96</v>
      </c>
    </row>
    <row r="27" customFormat="false" ht="15" hidden="false" customHeight="false" outlineLevel="0" collapsed="false">
      <c r="A27" s="8" t="str">
        <f aca="false">A8</f>
        <v>Total Dissolved Solids, TDS (mg/L)</v>
      </c>
      <c r="B27" s="21" t="n">
        <f aca="false">B8/E8*100</f>
        <v>64</v>
      </c>
      <c r="C27" s="21" t="n">
        <f aca="false">C8/E8*100</f>
        <v>112</v>
      </c>
      <c r="D27" s="21" t="n">
        <f aca="false">D8/E8*100</f>
        <v>88</v>
      </c>
    </row>
    <row r="28" customFormat="false" ht="15" hidden="false" customHeight="false" outlineLevel="0" collapsed="false">
      <c r="A28" s="4" t="str">
        <f aca="false">A9</f>
        <v>Nitrate (mg/L)</v>
      </c>
      <c r="B28" s="20" t="n">
        <f aca="false">B9/E9*100</f>
        <v>33.3333333333333</v>
      </c>
      <c r="C28" s="20" t="n">
        <f aca="false">C9/E9*100</f>
        <v>62.2222222222222</v>
      </c>
      <c r="D28" s="20" t="n">
        <f aca="false">D9/E9*100</f>
        <v>44.4444444444444</v>
      </c>
    </row>
    <row r="29" customFormat="false" ht="15" hidden="false" customHeight="false" outlineLevel="0" collapsed="false">
      <c r="A29" s="8" t="str">
        <f aca="false">A10</f>
        <v>Chloride (mg/L)</v>
      </c>
      <c r="B29" s="21" t="n">
        <f aca="false">B10/E10*100</f>
        <v>36</v>
      </c>
      <c r="C29" s="21" t="n">
        <f aca="false">C10/E10*100</f>
        <v>72</v>
      </c>
      <c r="D29" s="21" t="n">
        <f aca="false">D10/E10*100</f>
        <v>52</v>
      </c>
    </row>
    <row r="30" customFormat="false" ht="15" hidden="false" customHeight="false" outlineLevel="0" collapsed="false">
      <c r="A30" s="4" t="str">
        <f aca="false">A11</f>
        <v>Total Hardness (mg/L)</v>
      </c>
      <c r="B30" s="20" t="n">
        <f aca="false">B11/E11*100</f>
        <v>73.3333333333333</v>
      </c>
      <c r="C30" s="20" t="n">
        <f aca="false">C11/E11*100</f>
        <v>113.333333333333</v>
      </c>
      <c r="D30" s="20" t="n">
        <f aca="false">D11/E11*100</f>
        <v>93.3333333333333</v>
      </c>
    </row>
    <row r="31" customFormat="false" ht="15" hidden="false" customHeight="false" outlineLevel="0" collapsed="false">
      <c r="A31" s="8" t="str">
        <f aca="false">A12</f>
        <v>Fluoride (mg/L)</v>
      </c>
      <c r="B31" s="21" t="n">
        <f aca="false">B12/E12*100</f>
        <v>16.6666666666667</v>
      </c>
      <c r="C31" s="21" t="n">
        <f aca="false">C12/E12*100</f>
        <v>28</v>
      </c>
      <c r="D31" s="21" t="n">
        <f aca="false">D12/E12*100</f>
        <v>22</v>
      </c>
    </row>
    <row r="33" customFormat="false" ht="15" hidden="false" customHeight="false" outlineLevel="0" collapsed="false">
      <c r="A33" s="16" t="s">
        <v>31</v>
      </c>
      <c r="B33" s="16"/>
      <c r="C33" s="16"/>
      <c r="D33" s="16"/>
    </row>
    <row r="34" customFormat="false" ht="15" hidden="false" customHeight="false" outlineLevel="0" collapsed="false">
      <c r="A34" s="17" t="s">
        <v>2</v>
      </c>
      <c r="B34" s="17" t="s">
        <v>32</v>
      </c>
    </row>
    <row r="35" customFormat="false" ht="15" hidden="false" customHeight="false" outlineLevel="0" collapsed="false">
      <c r="A35" s="4" t="str">
        <f aca="false">A5</f>
        <v>pH</v>
      </c>
      <c r="B35" s="7" t="n">
        <f aca="false">L5</f>
        <v>5.16051347109037</v>
      </c>
    </row>
    <row r="36" customFormat="false" ht="15" hidden="false" customHeight="false" outlineLevel="0" collapsed="false">
      <c r="A36" s="8" t="str">
        <f aca="false">A6</f>
        <v>Dissolved Oxygen, DO (mg/L)</v>
      </c>
      <c r="B36" s="11" t="n">
        <f aca="false">L6</f>
        <v>17.8198980798589</v>
      </c>
    </row>
    <row r="37" customFormat="false" ht="15" hidden="false" customHeight="false" outlineLevel="0" collapsed="false">
      <c r="A37" s="4" t="str">
        <f aca="false">A7</f>
        <v>Biochemical Oxygen Demand, BOD (mg/L)</v>
      </c>
      <c r="B37" s="7" t="n">
        <f aca="false">L7</f>
        <v>21.3838776958307</v>
      </c>
    </row>
    <row r="38" customFormat="false" ht="15" hidden="false" customHeight="false" outlineLevel="0" collapsed="false">
      <c r="A38" s="8" t="str">
        <f aca="false">A8</f>
        <v>Total Dissolved Solids, TDS (mg/L)</v>
      </c>
      <c r="B38" s="11" t="n">
        <f aca="false">L8</f>
        <v>0.184230330917926</v>
      </c>
    </row>
    <row r="39" customFormat="false" ht="15" hidden="false" customHeight="false" outlineLevel="0" collapsed="false">
      <c r="A39" s="4" t="str">
        <f aca="false">A9</f>
        <v>Nitrate (mg/L)</v>
      </c>
      <c r="B39" s="7" t="n">
        <f aca="false">L9</f>
        <v>1.13722426492547</v>
      </c>
    </row>
    <row r="40" customFormat="false" ht="15" hidden="false" customHeight="false" outlineLevel="0" collapsed="false">
      <c r="A40" s="8" t="str">
        <f aca="false">A10</f>
        <v>Chloride (mg/L)</v>
      </c>
      <c r="B40" s="11" t="n">
        <f aca="false">L10</f>
        <v>0.236867568323048</v>
      </c>
    </row>
    <row r="41" customFormat="false" ht="15" hidden="false" customHeight="false" outlineLevel="0" collapsed="false">
      <c r="A41" s="4" t="str">
        <f aca="false">A11</f>
        <v>Total Hardness (mg/L)</v>
      </c>
      <c r="B41" s="7" t="n">
        <f aca="false">L11</f>
        <v>0.310705915238566</v>
      </c>
    </row>
    <row r="42" customFormat="false" ht="15" hidden="false" customHeight="false" outlineLevel="0" collapsed="false">
      <c r="A42" s="8" t="str">
        <f aca="false">A12</f>
        <v>Fluoride (mg/L)</v>
      </c>
      <c r="B42" s="11" t="n">
        <f aca="false">L12</f>
        <v>15.3525275764939</v>
      </c>
    </row>
  </sheetData>
  <mergeCells count="5">
    <mergeCell ref="A1:L1"/>
    <mergeCell ref="A2:L2"/>
    <mergeCell ref="A16:D16"/>
    <mergeCell ref="A22:D22"/>
    <mergeCell ref="A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5.5" hidden="false" customHeight="true" outlineLevel="0" collapsed="false">
      <c r="A1" s="22" t="s">
        <v>33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2026-07-04T04:14:05Z</dcterms:created>
  <dc:creator>openpyxl</dc:creator>
  <dc:description/>
  <dc:language>en-US</dc:language>
  <cp:lastModifiedBy/>
  <dcterms:modified xsi:type="dcterms:W3CDTF">2026-07-04T04:14:14Z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